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A376C2A6-2CF3-4075-99BB-17C84027518C}" xr6:coauthVersionLast="47" xr6:coauthVersionMax="47" xr10:uidLastSave="{00000000-0000-0000-0000-000000000000}"/>
  <bookViews>
    <workbookView xWindow="-120" yWindow="-120" windowWidth="20730" windowHeight="11040" activeTab="1" xr2:uid="{7CAC9056-9599-4D69-807D-10AF9644A863}"/>
  </bookViews>
  <sheets>
    <sheet name="Data" sheetId="1" r:id="rId1"/>
    <sheet name="Pivot_Status" sheetId="2" r:id="rId2"/>
  </sheets>
  <definedNames>
    <definedName name="Slicer_Status">#N/A</definedName>
    <definedName name="Slicer_Vendor">#N/A</definedName>
  </definedNames>
  <calcPr calcId="191029"/>
  <pivotCaches>
    <pivotCache cacheId="1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D3" i="1"/>
  <c r="D4" i="1"/>
  <c r="D5" i="1"/>
  <c r="D6" i="1"/>
  <c r="D7" i="1"/>
  <c r="D8" i="1"/>
  <c r="D9" i="1"/>
  <c r="D10" i="1"/>
  <c r="D11" i="1"/>
  <c r="D2" i="1"/>
</calcChain>
</file>

<file path=xl/sharedStrings.xml><?xml version="1.0" encoding="utf-8"?>
<sst xmlns="http://schemas.openxmlformats.org/spreadsheetml/2006/main" count="23" uniqueCount="15">
  <si>
    <t>Vendor</t>
  </si>
  <si>
    <t>Expected Delivery</t>
  </si>
  <si>
    <t>Actual Delivery</t>
  </si>
  <si>
    <t>Quantity</t>
  </si>
  <si>
    <t>Delay</t>
  </si>
  <si>
    <t>Vendor A</t>
  </si>
  <si>
    <t>Vendor B</t>
  </si>
  <si>
    <t>Vendor C</t>
  </si>
  <si>
    <t>Vendor D</t>
  </si>
  <si>
    <t>Status</t>
  </si>
  <si>
    <t>Row Labels</t>
  </si>
  <si>
    <t>Grand Total</t>
  </si>
  <si>
    <t>Count of Status</t>
  </si>
  <si>
    <t>Column Labels</t>
  </si>
  <si>
    <t>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</si>
</sst>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fill>
        <patternFill>
          <bgColor rgb="FFFF0000"/>
        </patternFill>
      </fill>
    </dxf>
    <dxf>
      <fill>
        <patternFill>
          <bgColor rgb="FF00B050"/>
        </patternFill>
      </fill>
    </dxf>
    <dxf>
      <fill>
        <patternFill>
          <bgColor rgb="FF0070C0"/>
        </patternFill>
      </fill>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[Vendor_Performance_Analysis.xlsx]Pivot_Status!PivotTable1</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Late Deliveries by Vendor</a:t>
            </a:r>
          </a:p>
        </c:rich>
      </c:tx>
      <c:layout>
        <c:manualLayout>
          <c:xMode val="edge"/>
          <c:yMode val="edge"/>
          <c:x val="0.29448600174978129"/>
          <c:y val="3.13867016622922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24249686180532"/>
          <c:y val="0.25639410457020201"/>
          <c:w val="0.62437064932100883"/>
          <c:h val="0.5239627863470363"/>
        </c:manualLayout>
      </c:layout>
      <c:barChart>
        <c:barDir val="col"/>
        <c:grouping val="clustered"/>
        <c:varyColors val="0"/>
        <c:ser>
          <c:idx val="0"/>
          <c:order val="0"/>
          <c:tx>
            <c:strRef>
              <c:f>Pivot_Status!$B$3:$B$4</c:f>
              <c:strCache>
                <c:ptCount val="1"/>
                <c:pt idx="0">
                  <c:v>Late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Pivot_Status!$A$5:$A$6</c:f>
              <c:strCache>
                <c:ptCount val="1"/>
                <c:pt idx="0">
                  <c:v>Vendor D</c:v>
                </c:pt>
              </c:strCache>
            </c:strRef>
          </c:cat>
          <c:val>
            <c:numRef>
              <c:f>Pivot_Status!$B$5:$B$6</c:f>
              <c:numCache>
                <c:formatCode>General</c:formatCode>
                <c:ptCount val="1"/>
                <c:pt idx="0">
                  <c:v>2</c:v>
                </c:pt>
              </c:numCache>
            </c:numRef>
          </c:val>
          <c:extLst>
            <c:ext xmlns:c16="http://schemas.microsoft.com/office/drawing/2014/chart" uri="{C3380CC4-5D6E-409C-BE32-E72D297353CC}">
              <c16:uniqueId val="{00000000-3B36-4ABD-B726-D397DE05C40C}"/>
            </c:ext>
          </c:extLst>
        </c:ser>
        <c:dLbls>
          <c:dLblPos val="outEnd"/>
          <c:showLegendKey val="0"/>
          <c:showVal val="1"/>
          <c:showCatName val="0"/>
          <c:showSerName val="0"/>
          <c:showPercent val="0"/>
          <c:showBubbleSize val="0"/>
        </c:dLbls>
        <c:gapWidth val="164"/>
        <c:overlap val="-22"/>
        <c:axId val="386391216"/>
        <c:axId val="386391632"/>
      </c:barChart>
      <c:catAx>
        <c:axId val="38639121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391632"/>
        <c:crosses val="autoZero"/>
        <c:auto val="1"/>
        <c:lblAlgn val="ctr"/>
        <c:lblOffset val="100"/>
        <c:noMultiLvlLbl val="0"/>
      </c:catAx>
      <c:valAx>
        <c:axId val="386391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39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Overall Delivery Performance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explosion val="15"/>
          <c:dPt>
            <c:idx val="0"/>
            <c:bubble3D val="0"/>
            <c:explosion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7A1D-4DFA-818C-59CF2B8EFA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Lit>
              <c:formatCode>General</c:formatCode>
              <c:ptCount val="1"/>
              <c:pt idx="0">
                <c:v>1</c:v>
              </c:pt>
            </c:numLit>
          </c:val>
          <c:extLst>
            <c:ext xmlns:c16="http://schemas.microsoft.com/office/drawing/2014/chart" uri="{C3380CC4-5D6E-409C-BE32-E72D297353CC}">
              <c16:uniqueId val="{00000000-7A1D-4DFA-818C-59CF2B8EFA7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1</xdr:rowOff>
    </xdr:from>
    <xdr:to>
      <xdr:col>12</xdr:col>
      <xdr:colOff>600075</xdr:colOff>
      <xdr:row>25</xdr:row>
      <xdr:rowOff>180975</xdr:rowOff>
    </xdr:to>
    <xdr:graphicFrame macro="">
      <xdr:nvGraphicFramePr>
        <xdr:cNvPr id="2" name="Chart 1">
          <a:extLst>
            <a:ext uri="{FF2B5EF4-FFF2-40B4-BE49-F238E27FC236}">
              <a16:creationId xmlns:a16="http://schemas.microsoft.com/office/drawing/2014/main" id="{26612005-27E5-4E7B-8075-715ACB677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171450</xdr:rowOff>
    </xdr:from>
    <xdr:to>
      <xdr:col>5</xdr:col>
      <xdr:colOff>257175</xdr:colOff>
      <xdr:row>26</xdr:row>
      <xdr:rowOff>19050</xdr:rowOff>
    </xdr:to>
    <xdr:graphicFrame macro="">
      <xdr:nvGraphicFramePr>
        <xdr:cNvPr id="3" name="Chart 2">
          <a:extLst>
            <a:ext uri="{FF2B5EF4-FFF2-40B4-BE49-F238E27FC236}">
              <a16:creationId xmlns:a16="http://schemas.microsoft.com/office/drawing/2014/main" id="{DEEC493A-551F-4470-9E27-1A8DCD1D4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409575</xdr:colOff>
      <xdr:row>1</xdr:row>
      <xdr:rowOff>9525</xdr:rowOff>
    </xdr:from>
    <xdr:to>
      <xdr:col>12</xdr:col>
      <xdr:colOff>285750</xdr:colOff>
      <xdr:row>12</xdr:row>
      <xdr:rowOff>0</xdr:rowOff>
    </xdr:to>
    <mc:AlternateContent xmlns:mc="http://schemas.openxmlformats.org/markup-compatibility/2006">
      <mc:Choice xmlns:a14="http://schemas.microsoft.com/office/drawing/2010/main" Requires="a14">
        <xdr:graphicFrame macro="">
          <xdr:nvGraphicFramePr>
            <xdr:cNvPr id="4" name="Vendor">
              <a:extLst>
                <a:ext uri="{FF2B5EF4-FFF2-40B4-BE49-F238E27FC236}">
                  <a16:creationId xmlns:a16="http://schemas.microsoft.com/office/drawing/2014/main" id="{4E98EA87-FAB0-46F3-906C-1836896B10F1}"/>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7162800" y="200025"/>
              <a:ext cx="18288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xdr:colOff>
      <xdr:row>1</xdr:row>
      <xdr:rowOff>9525</xdr:rowOff>
    </xdr:from>
    <xdr:to>
      <xdr:col>9</xdr:col>
      <xdr:colOff>28575</xdr:colOff>
      <xdr:row>12</xdr:row>
      <xdr:rowOff>0</xdr:rowOff>
    </xdr:to>
    <mc:AlternateContent xmlns:mc="http://schemas.openxmlformats.org/markup-compatibility/2006">
      <mc:Choice xmlns:a14="http://schemas.microsoft.com/office/drawing/2010/main" Requires="a14">
        <xdr:graphicFrame macro="">
          <xdr:nvGraphicFramePr>
            <xdr:cNvPr id="5" name="Status">
              <a:extLst>
                <a:ext uri="{FF2B5EF4-FFF2-40B4-BE49-F238E27FC236}">
                  <a16:creationId xmlns:a16="http://schemas.microsoft.com/office/drawing/2014/main" id="{59876C2A-8D45-4AE0-9B89-5DB3B94F3A1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4953000" y="200025"/>
              <a:ext cx="18288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7.585009953706" createdVersion="7" refreshedVersion="7" minRefreshableVersion="3" recordCount="10" xr:uid="{B0322612-6561-4A80-9BE5-FA91C637B0E4}">
  <cacheSource type="worksheet">
    <worksheetSource name="Table1"/>
  </cacheSource>
  <cacheFields count="6">
    <cacheField name="Vendor" numFmtId="0">
      <sharedItems count="4">
        <s v="Vendor A"/>
        <s v="Vendor B"/>
        <s v="Vendor C"/>
        <s v="Vendor D"/>
      </sharedItems>
    </cacheField>
    <cacheField name="Expected Delivery" numFmtId="14">
      <sharedItems containsSemiMixedTypes="0" containsNonDate="0" containsDate="1" containsString="0" minDate="2025-01-03T00:00:00" maxDate="2025-01-31T00:00:00"/>
    </cacheField>
    <cacheField name="Actual Delivery" numFmtId="14">
      <sharedItems containsSemiMixedTypes="0" containsNonDate="0" containsDate="1" containsString="0" minDate="2025-01-06T00:00:00" maxDate="2025-02-04T00:00:00"/>
    </cacheField>
    <cacheField name="Delay" numFmtId="0">
      <sharedItems containsSemiMixedTypes="0" containsString="0" containsNumber="1" containsInteger="1" minValue="-1" maxValue="5"/>
    </cacheField>
    <cacheField name="Quantity" numFmtId="0">
      <sharedItems containsSemiMixedTypes="0" containsString="0" containsNumber="1" containsInteger="1" minValue="70" maxValue="200"/>
    </cacheField>
    <cacheField name="Status" numFmtId="0">
      <sharedItems count="3">
        <s v="Late"/>
        <s v="On-time"/>
        <s v="Early"/>
      </sharedItems>
    </cacheField>
  </cacheFields>
  <extLst>
    <ext xmlns:x14="http://schemas.microsoft.com/office/spreadsheetml/2009/9/main" uri="{725AE2AE-9491-48be-B2B4-4EB974FC3084}">
      <x14:pivotCacheDefinition pivotCacheId="1053781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d v="2025-01-05T00:00:00"/>
    <d v="2025-01-06T00:00:00"/>
    <n v="1"/>
    <n v="120"/>
    <x v="0"/>
  </r>
  <r>
    <x v="1"/>
    <d v="2025-01-08T00:00:00"/>
    <d v="2025-01-08T00:00:00"/>
    <n v="0"/>
    <n v="80"/>
    <x v="1"/>
  </r>
  <r>
    <x v="2"/>
    <d v="2025-01-03T00:00:00"/>
    <d v="2025-01-07T00:00:00"/>
    <n v="4"/>
    <n v="150"/>
    <x v="0"/>
  </r>
  <r>
    <x v="0"/>
    <d v="2025-01-12T00:00:00"/>
    <d v="2025-01-11T00:00:00"/>
    <n v="-1"/>
    <n v="90"/>
    <x v="2"/>
  </r>
  <r>
    <x v="3"/>
    <d v="2025-01-10T00:00:00"/>
    <d v="2025-01-15T00:00:00"/>
    <n v="5"/>
    <n v="200"/>
    <x v="0"/>
  </r>
  <r>
    <x v="1"/>
    <d v="2025-01-15T00:00:00"/>
    <d v="2025-01-14T00:00:00"/>
    <n v="-1"/>
    <n v="70"/>
    <x v="2"/>
  </r>
  <r>
    <x v="2"/>
    <d v="2025-01-20T00:00:00"/>
    <d v="2025-01-23T00:00:00"/>
    <n v="3"/>
    <n v="100"/>
    <x v="0"/>
  </r>
  <r>
    <x v="0"/>
    <d v="2025-01-25T00:00:00"/>
    <d v="2025-01-26T00:00:00"/>
    <n v="1"/>
    <n v="160"/>
    <x v="0"/>
  </r>
  <r>
    <x v="3"/>
    <d v="2025-01-28T00:00:00"/>
    <d v="2025-01-29T00:00:00"/>
    <n v="1"/>
    <n v="110"/>
    <x v="0"/>
  </r>
  <r>
    <x v="2"/>
    <d v="2025-01-30T00:00:00"/>
    <d v="2025-02-03T00:00:00"/>
    <n v="4"/>
    <n v="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191F0-BFA9-4923-B7A5-D6774D95F7FF}"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C6" firstHeaderRow="1" firstDataRow="2" firstDataCol="1"/>
  <pivotFields count="6">
    <pivotField axis="axisRow" showAll="0">
      <items count="5">
        <item h="1" x="0"/>
        <item h="1" x="1"/>
        <item h="1" x="2"/>
        <item x="3"/>
        <item t="default"/>
      </items>
    </pivotField>
    <pivotField numFmtId="14" showAll="0"/>
    <pivotField numFmtId="14" showAll="0"/>
    <pivotField showAll="0"/>
    <pivotField showAll="0"/>
    <pivotField axis="axisCol" dataField="1" showAll="0">
      <items count="4">
        <item h="1" x="2"/>
        <item x="0"/>
        <item h="1" x="1"/>
        <item t="default"/>
      </items>
    </pivotField>
  </pivotFields>
  <rowFields count="1">
    <field x="0"/>
  </rowFields>
  <rowItems count="2">
    <i>
      <x v="3"/>
    </i>
    <i t="grand">
      <x/>
    </i>
  </rowItems>
  <colFields count="1">
    <field x="5"/>
  </colFields>
  <colItems count="2">
    <i>
      <x v="1"/>
    </i>
    <i t="grand">
      <x/>
    </i>
  </colItems>
  <dataFields count="1">
    <dataField name="Count of Status" fld="5" subtotal="count" baseField="0" baseItem="0"/>
  </dataFields>
  <chartFormats count="4">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719B8927-6F6F-4C8E-91F9-942AA18E1F55}" sourceName="Vendor">
  <pivotTables>
    <pivotTable tabId="2" name="PivotTable1"/>
  </pivotTables>
  <data>
    <tabular pivotCacheId="1053781811">
      <items count="4">
        <i x="0"/>
        <i x="2"/>
        <i x="3"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F41BF1F-E4D5-4814-8615-4FD5722FEE6B}" sourceName="Status">
  <pivotTables>
    <pivotTable tabId="2" name="PivotTable1"/>
  </pivotTables>
  <data>
    <tabular pivotCacheId="1053781811">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C2C45F46-669D-464E-A11E-7AC2F3A80C6B}" cache="Slicer_Vendor" caption="Vendor" style="SlicerStyleLight3" rowHeight="241300"/>
  <slicer name="Status" xr10:uid="{DA7E4216-F8FA-4122-AF5B-7F34995C4975}" cache="Slicer_Status" caption="Status"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A87372-5231-4F73-AA83-E418B002B0CF}" name="Table1" displayName="Table1" ref="A1:F11" totalsRowShown="0" headerRowDxfId="5">
  <autoFilter ref="A1:F11" xr:uid="{75A87372-5231-4F73-AA83-E418B002B0CF}"/>
  <tableColumns count="6">
    <tableColumn id="1" xr3:uid="{DBAAE5F0-84E3-4284-ABDE-0C65289E1352}" name="Vendor"/>
    <tableColumn id="2" xr3:uid="{E896B41A-DA23-4E40-BDAA-1393574873AE}" name="Expected Delivery" dataDxfId="4"/>
    <tableColumn id="3" xr3:uid="{EED0B644-FD3D-4486-8F17-CA8EA4ED353A}" name="Actual Delivery" dataDxfId="3"/>
    <tableColumn id="4" xr3:uid="{62BBC902-858F-432F-B16A-680C5BA7F216}" name="Delay">
      <calculatedColumnFormula>C2-B2</calculatedColumnFormula>
    </tableColumn>
    <tableColumn id="5" xr3:uid="{D3465473-9B74-4310-99E5-5ECFA203E4EB}" name="Quantity"/>
    <tableColumn id="6" xr3:uid="{B542AD3A-32C4-4EC5-8E29-895140FD057A}" name="Status">
      <calculatedColumnFormula>IF(D2&gt;0,"Late",IF(D2=0,"On-time","Early"))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EEFAA-774F-420F-AD3B-04EEFB28958B}">
  <dimension ref="A1:F11"/>
  <sheetViews>
    <sheetView workbookViewId="0">
      <pane ySplit="1" topLeftCell="A2" activePane="bottomLeft" state="frozen"/>
      <selection pane="bottomLeft" activeCell="E15" sqref="E15"/>
    </sheetView>
  </sheetViews>
  <sheetFormatPr defaultRowHeight="15" x14ac:dyDescent="0.25"/>
  <cols>
    <col min="1" max="1" width="9.7109375" customWidth="1"/>
    <col min="2" max="2" width="19.140625" customWidth="1"/>
    <col min="3" max="3" width="16.5703125" customWidth="1"/>
    <col min="5" max="5" width="10.85546875" customWidth="1"/>
  </cols>
  <sheetData>
    <row r="1" spans="1:6" x14ac:dyDescent="0.25">
      <c r="A1" s="1" t="s">
        <v>0</v>
      </c>
      <c r="B1" s="1" t="s">
        <v>1</v>
      </c>
      <c r="C1" s="1" t="s">
        <v>2</v>
      </c>
      <c r="D1" s="1" t="s">
        <v>4</v>
      </c>
      <c r="E1" s="1" t="s">
        <v>3</v>
      </c>
      <c r="F1" s="1" t="s">
        <v>9</v>
      </c>
    </row>
    <row r="2" spans="1:6" x14ac:dyDescent="0.25">
      <c r="A2" t="s">
        <v>5</v>
      </c>
      <c r="B2" s="2">
        <v>45662</v>
      </c>
      <c r="C2" s="2">
        <v>45663</v>
      </c>
      <c r="D2">
        <f>C2-B2</f>
        <v>1</v>
      </c>
      <c r="E2">
        <v>120</v>
      </c>
      <c r="F2" t="str">
        <f>IF(D2&gt;0,"Late",IF(D2=0,"On-time","Early"))</f>
        <v>Late</v>
      </c>
    </row>
    <row r="3" spans="1:6" x14ac:dyDescent="0.25">
      <c r="A3" t="s">
        <v>6</v>
      </c>
      <c r="B3" s="2">
        <v>45665</v>
      </c>
      <c r="C3" s="2">
        <v>45665</v>
      </c>
      <c r="D3">
        <f t="shared" ref="D3:D11" si="0">C3-B3</f>
        <v>0</v>
      </c>
      <c r="E3">
        <v>80</v>
      </c>
      <c r="F3" t="str">
        <f>IF(D3&gt;0,"Late",IF(D3=0,"On-time","Early"))</f>
        <v>On-time</v>
      </c>
    </row>
    <row r="4" spans="1:6" x14ac:dyDescent="0.25">
      <c r="A4" t="s">
        <v>7</v>
      </c>
      <c r="B4" s="2">
        <v>45660</v>
      </c>
      <c r="C4" s="2">
        <v>45664</v>
      </c>
      <c r="D4">
        <f t="shared" si="0"/>
        <v>4</v>
      </c>
      <c r="E4">
        <v>150</v>
      </c>
      <c r="F4" t="str">
        <f>IF(D4&gt;0,"Late",IF(D4=0,"On-time","Early"))</f>
        <v>Late</v>
      </c>
    </row>
    <row r="5" spans="1:6" x14ac:dyDescent="0.25">
      <c r="A5" t="s">
        <v>5</v>
      </c>
      <c r="B5" s="2">
        <v>45669</v>
      </c>
      <c r="C5" s="2">
        <v>45668</v>
      </c>
      <c r="D5">
        <f t="shared" si="0"/>
        <v>-1</v>
      </c>
      <c r="E5">
        <v>90</v>
      </c>
      <c r="F5" t="str">
        <f>IF(D5&gt;0,"Late",IF(D5=0,"On-time","Early"))</f>
        <v>Early</v>
      </c>
    </row>
    <row r="6" spans="1:6" x14ac:dyDescent="0.25">
      <c r="A6" t="s">
        <v>8</v>
      </c>
      <c r="B6" s="2">
        <v>45667</v>
      </c>
      <c r="C6" s="2">
        <v>45672</v>
      </c>
      <c r="D6">
        <f t="shared" si="0"/>
        <v>5</v>
      </c>
      <c r="E6">
        <v>200</v>
      </c>
      <c r="F6" t="str">
        <f>IF(D6&gt;0,"Late",IF(D6=0,"On-time","Early"))</f>
        <v>Late</v>
      </c>
    </row>
    <row r="7" spans="1:6" x14ac:dyDescent="0.25">
      <c r="A7" t="s">
        <v>6</v>
      </c>
      <c r="B7" s="2">
        <v>45672</v>
      </c>
      <c r="C7" s="2">
        <v>45671</v>
      </c>
      <c r="D7">
        <f t="shared" si="0"/>
        <v>-1</v>
      </c>
      <c r="E7">
        <v>70</v>
      </c>
      <c r="F7" t="str">
        <f>IF(D7&gt;0,"Late",IF(D7=0,"On-time","Early"))</f>
        <v>Early</v>
      </c>
    </row>
    <row r="8" spans="1:6" x14ac:dyDescent="0.25">
      <c r="A8" t="s">
        <v>7</v>
      </c>
      <c r="B8" s="2">
        <v>45677</v>
      </c>
      <c r="C8" s="2">
        <v>45680</v>
      </c>
      <c r="D8">
        <f t="shared" si="0"/>
        <v>3</v>
      </c>
      <c r="E8">
        <v>100</v>
      </c>
      <c r="F8" t="str">
        <f>IF(D8&gt;0,"Late",IF(D8=0,"On-time","Early"))</f>
        <v>Late</v>
      </c>
    </row>
    <row r="9" spans="1:6" x14ac:dyDescent="0.25">
      <c r="A9" t="s">
        <v>5</v>
      </c>
      <c r="B9" s="2">
        <v>45682</v>
      </c>
      <c r="C9" s="2">
        <v>45683</v>
      </c>
      <c r="D9">
        <f t="shared" si="0"/>
        <v>1</v>
      </c>
      <c r="E9">
        <v>160</v>
      </c>
      <c r="F9" t="str">
        <f>IF(D9&gt;0,"Late",IF(D9=0,"On-time","Early"))</f>
        <v>Late</v>
      </c>
    </row>
    <row r="10" spans="1:6" x14ac:dyDescent="0.25">
      <c r="A10" t="s">
        <v>8</v>
      </c>
      <c r="B10" s="2">
        <v>45685</v>
      </c>
      <c r="C10" s="2">
        <v>45686</v>
      </c>
      <c r="D10">
        <f t="shared" si="0"/>
        <v>1</v>
      </c>
      <c r="E10">
        <v>110</v>
      </c>
      <c r="F10" t="str">
        <f>IF(D10&gt;0,"Late",IF(D10=0,"On-time","Early"))</f>
        <v>Late</v>
      </c>
    </row>
    <row r="11" spans="1:6" x14ac:dyDescent="0.25">
      <c r="A11" t="s">
        <v>7</v>
      </c>
      <c r="B11" s="2">
        <v>45687</v>
      </c>
      <c r="C11" s="2">
        <v>45691</v>
      </c>
      <c r="D11">
        <f t="shared" si="0"/>
        <v>4</v>
      </c>
      <c r="E11">
        <v>95</v>
      </c>
      <c r="F11" t="str">
        <f>IF(D11&gt;0,"Late",IF(D11=0,"On-time","Early"))</f>
        <v>Late</v>
      </c>
    </row>
  </sheetData>
  <conditionalFormatting sqref="F2:F11">
    <cfRule type="expression" dxfId="2" priority="1">
      <formula>$F2="Early"</formula>
    </cfRule>
    <cfRule type="expression" dxfId="1" priority="2">
      <formula>$F2="On-time"</formula>
    </cfRule>
    <cfRule type="expression" dxfId="0" priority="3">
      <formula>$F2="Late"</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9645-0C9C-45EB-B8BE-DF094A50BA18}">
  <dimension ref="A3:C6"/>
  <sheetViews>
    <sheetView showGridLines="0" tabSelected="1" workbookViewId="0">
      <selection activeCell="R25" sqref="R25"/>
    </sheetView>
  </sheetViews>
  <sheetFormatPr defaultRowHeight="15" x14ac:dyDescent="0.25"/>
  <cols>
    <col min="1" max="1" width="14.5703125" bestFit="1" customWidth="1"/>
    <col min="2" max="2" width="16.28515625" bestFit="1" customWidth="1"/>
    <col min="3" max="5" width="11.28515625" bestFit="1" customWidth="1"/>
    <col min="11" max="11" width="11" customWidth="1"/>
  </cols>
  <sheetData>
    <row r="3" spans="1:3" x14ac:dyDescent="0.25">
      <c r="A3" s="3" t="s">
        <v>12</v>
      </c>
      <c r="B3" s="3" t="s">
        <v>13</v>
      </c>
    </row>
    <row r="4" spans="1:3" x14ac:dyDescent="0.25">
      <c r="A4" s="3" t="s">
        <v>10</v>
      </c>
      <c r="B4" t="s">
        <v>14</v>
      </c>
      <c r="C4" t="s">
        <v>11</v>
      </c>
    </row>
    <row r="5" spans="1:3" x14ac:dyDescent="0.25">
      <c r="A5" s="4" t="s">
        <v>8</v>
      </c>
      <c r="B5" s="5">
        <v>2</v>
      </c>
      <c r="C5" s="5">
        <v>2</v>
      </c>
    </row>
    <row r="6" spans="1:3" x14ac:dyDescent="0.25">
      <c r="A6" s="4" t="s">
        <v>11</v>
      </c>
      <c r="B6" s="5">
        <v>2</v>
      </c>
      <c r="C6" s="5">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618EE0-6878-4006-B5EF-001807FC0D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Pivot_Status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2025-11-15T06:03:11Z</dcterms:created>
  <dcterms:modified xsi:type="dcterms:W3CDTF">2025-11-16T09:44:37Z</dcterms:modified>
</cp:coreProperties>
</file>